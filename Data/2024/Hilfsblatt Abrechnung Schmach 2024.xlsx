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_Hausverwaltung\Abrechungen\2024\"/>
    </mc:Choice>
  </mc:AlternateContent>
  <xr:revisionPtr revIDLastSave="0" documentId="13_ncr:1_{633093AA-A91C-4060-BFD5-2486DB7B37E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G24" i="1"/>
  <c r="G26" i="1" s="1"/>
  <c r="G22" i="1" l="1"/>
  <c r="E41" i="1" l="1"/>
  <c r="G23" i="1"/>
  <c r="G20" i="1"/>
  <c r="G29" i="1" l="1"/>
</calcChain>
</file>

<file path=xl/sharedStrings.xml><?xml version="1.0" encoding="utf-8"?>
<sst xmlns="http://schemas.openxmlformats.org/spreadsheetml/2006/main" count="36" uniqueCount="32">
  <si>
    <t>Gem. BetrKV</t>
  </si>
  <si>
    <t>Miteigentumsanteil</t>
  </si>
  <si>
    <t>Rücklagen</t>
  </si>
  <si>
    <t>Kostenkonto</t>
  </si>
  <si>
    <t>Umlageart</t>
  </si>
  <si>
    <t>Umlage anteilig</t>
  </si>
  <si>
    <t>Eigentümer</t>
  </si>
  <si>
    <t>jährl.  Vorauszahlung</t>
  </si>
  <si>
    <t>Schmach</t>
  </si>
  <si>
    <t>Einoeder</t>
  </si>
  <si>
    <t>Loesch, WE</t>
  </si>
  <si>
    <t>Loesch, Keller</t>
  </si>
  <si>
    <t>Gesamt</t>
  </si>
  <si>
    <t>*</t>
  </si>
  <si>
    <t>Anteile</t>
  </si>
  <si>
    <t>mtl. Vorauszahlung</t>
  </si>
  <si>
    <t>Abrechnung</t>
  </si>
  <si>
    <t xml:space="preserve">Kontogebühren </t>
  </si>
  <si>
    <t>Lang</t>
  </si>
  <si>
    <t>Abrechnung Witter</t>
  </si>
  <si>
    <t>Abzüglich Vorauszahlung</t>
  </si>
  <si>
    <r>
      <t xml:space="preserve">Gesamtkosten Betriebskostenabrechnung </t>
    </r>
    <r>
      <rPr>
        <vertAlign val="superscript"/>
        <sz val="8"/>
        <color rgb="FF000000"/>
        <rFont val="Arial"/>
        <family val="2"/>
      </rPr>
      <t>1</t>
    </r>
  </si>
  <si>
    <t>Nachzahlung</t>
  </si>
  <si>
    <t>Betrag ant.</t>
  </si>
  <si>
    <t>Ges. Betrag</t>
  </si>
  <si>
    <t>GesamtkosErste Seite, Gesamtheizkosten+ Wasserkosten oder Kurzübersicht für die Hausverwaltungten aus Kurzübersicht</t>
  </si>
  <si>
    <t>Pos. 4.01 von Heiz und Nebenkostenabrechnung, wird nicht umgelegt</t>
  </si>
  <si>
    <t>Entgeltabrechnung </t>
  </si>
  <si>
    <t>Beschreibung Ges. Betrag</t>
  </si>
  <si>
    <t>Beschreibung ant.</t>
  </si>
  <si>
    <t>Kurzübersicht, Gesamt</t>
  </si>
  <si>
    <t>Instandhaltung Objekt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</si>
</sst>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vertAlign val="superscript"/>
      <sz val="8"/>
      <color rgb="FF000000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  <xf numFmtId="0" fontId="9" fillId="4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164" fontId="0" fillId="0" borderId="0" xfId="0" applyNumberFormat="1"/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3" borderId="0" xfId="1"/>
    <xf numFmtId="0" fontId="5" fillId="0" borderId="0" xfId="0" applyFont="1" applyAlignment="1">
      <alignment vertical="center" wrapText="1"/>
    </xf>
    <xf numFmtId="0" fontId="4" fillId="0" borderId="0" xfId="2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/>
    </xf>
    <xf numFmtId="0" fontId="8" fillId="0" borderId="0" xfId="0" applyFont="1"/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9" fillId="4" borderId="0" xfId="3" applyAlignment="1">
      <alignment vertical="center" wrapText="1"/>
    </xf>
    <xf numFmtId="0" fontId="9" fillId="4" borderId="0" xfId="3"/>
  </cellXfs>
  <cellStyles count="4">
    <cellStyle name="Gut" xfId="1" builtinId="26"/>
    <cellStyle name="Link" xfId="2" builtinId="8"/>
    <cellStyle name="Neutral" xfId="3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41"/>
  <sheetViews>
    <sheetView tabSelected="1" topLeftCell="B15" zoomScale="130" zoomScaleNormal="130" workbookViewId="0">
      <selection activeCell="I39" sqref="I39"/>
    </sheetView>
  </sheetViews>
  <sheetFormatPr baseColWidth="10" defaultRowHeight="14.5" x14ac:dyDescent="0.35"/>
  <cols>
    <col min="3" max="3" width="29.7265625" customWidth="1"/>
    <col min="4" max="4" width="14.26953125" customWidth="1"/>
    <col min="7" max="7" width="12.26953125" customWidth="1"/>
    <col min="9" max="9" width="103.54296875" bestFit="1" customWidth="1"/>
    <col min="10" max="10" width="19.54296875" bestFit="1" customWidth="1"/>
  </cols>
  <sheetData>
    <row r="5" spans="4:5" ht="15" thickBot="1" x14ac:dyDescent="0.4"/>
    <row r="6" spans="4:5" x14ac:dyDescent="0.35">
      <c r="D6" s="1"/>
      <c r="E6" s="1"/>
    </row>
    <row r="7" spans="4:5" x14ac:dyDescent="0.35">
      <c r="D7" s="2"/>
      <c r="E7" s="2"/>
    </row>
    <row r="8" spans="4:5" x14ac:dyDescent="0.35">
      <c r="D8" s="2"/>
      <c r="E8" s="2"/>
    </row>
    <row r="9" spans="4:5" x14ac:dyDescent="0.35">
      <c r="D9" s="2"/>
      <c r="E9" s="2"/>
    </row>
    <row r="10" spans="4:5" x14ac:dyDescent="0.35">
      <c r="D10" s="2"/>
      <c r="E10" s="2"/>
    </row>
    <row r="11" spans="4:5" x14ac:dyDescent="0.35">
      <c r="D11" s="2"/>
      <c r="E11" s="2"/>
    </row>
    <row r="12" spans="4:5" x14ac:dyDescent="0.35">
      <c r="D12" s="2"/>
      <c r="E12" s="2"/>
    </row>
    <row r="13" spans="4:5" x14ac:dyDescent="0.35">
      <c r="D13" s="2"/>
      <c r="E13" s="2"/>
    </row>
    <row r="14" spans="4:5" x14ac:dyDescent="0.35">
      <c r="D14" s="2"/>
      <c r="E14" s="2"/>
    </row>
    <row r="15" spans="4:5" x14ac:dyDescent="0.35">
      <c r="D15" s="2"/>
      <c r="E15" s="2"/>
    </row>
    <row r="16" spans="4:5" x14ac:dyDescent="0.35">
      <c r="D16" s="14"/>
      <c r="E16" s="2"/>
    </row>
    <row r="17" spans="3:10" ht="16.5" x14ac:dyDescent="0.35">
      <c r="D17" s="13"/>
    </row>
    <row r="19" spans="3:10" ht="15" thickBot="1" x14ac:dyDescent="0.4">
      <c r="C19" s="5" t="s">
        <v>3</v>
      </c>
      <c r="D19" s="6" t="s">
        <v>4</v>
      </c>
      <c r="E19" s="16" t="s">
        <v>5</v>
      </c>
      <c r="F19" s="16" t="s">
        <v>24</v>
      </c>
      <c r="G19" s="16" t="s">
        <v>23</v>
      </c>
      <c r="I19" t="s">
        <v>28</v>
      </c>
      <c r="J19" t="s">
        <v>29</v>
      </c>
    </row>
    <row r="20" spans="3:10" x14ac:dyDescent="0.35">
      <c r="C20" s="9" t="s">
        <v>2</v>
      </c>
      <c r="D20" s="9" t="s">
        <v>1</v>
      </c>
      <c r="E20">
        <v>232.18</v>
      </c>
      <c r="F20" s="11">
        <v>2400</v>
      </c>
      <c r="G20" s="4">
        <f>SUM(F20/1000*E20)</f>
        <v>557.23199999999997</v>
      </c>
      <c r="H20" s="8"/>
      <c r="I20" s="3"/>
    </row>
    <row r="21" spans="3:10" x14ac:dyDescent="0.35">
      <c r="C21" s="9" t="s">
        <v>21</v>
      </c>
      <c r="D21" s="9" t="s">
        <v>0</v>
      </c>
      <c r="E21" s="10"/>
      <c r="F21" s="11">
        <v>9025.69</v>
      </c>
      <c r="G21" s="15">
        <v>2625.3</v>
      </c>
      <c r="H21" s="8"/>
      <c r="I21" s="18" t="s">
        <v>25</v>
      </c>
      <c r="J21" t="s">
        <v>30</v>
      </c>
    </row>
    <row r="22" spans="3:10" x14ac:dyDescent="0.35">
      <c r="C22" s="12" t="s">
        <v>19</v>
      </c>
      <c r="D22" s="9" t="s">
        <v>1</v>
      </c>
      <c r="E22">
        <v>232.18</v>
      </c>
      <c r="F22" s="11">
        <v>159.59</v>
      </c>
      <c r="G22" s="4">
        <f>SUM(F22/1000*E22)</f>
        <v>37.053606200000004</v>
      </c>
      <c r="H22" s="8"/>
      <c r="I22" s="18" t="s">
        <v>26</v>
      </c>
    </row>
    <row r="23" spans="3:10" x14ac:dyDescent="0.35">
      <c r="C23" s="9" t="s">
        <v>17</v>
      </c>
      <c r="D23" s="9" t="s">
        <v>1</v>
      </c>
      <c r="E23">
        <v>232.18</v>
      </c>
      <c r="F23" s="11">
        <v>196.05</v>
      </c>
      <c r="G23" s="4">
        <f>SUM(F23/1000*E23)</f>
        <v>45.518889000000001</v>
      </c>
      <c r="H23" s="8"/>
      <c r="I23" s="17" t="s">
        <v>27</v>
      </c>
    </row>
    <row r="24" spans="3:10" x14ac:dyDescent="0.35">
      <c r="C24" s="9" t="s">
        <v>31</v>
      </c>
      <c r="D24" s="9" t="s">
        <v>1</v>
      </c>
      <c r="E24">
        <v>232.18</v>
      </c>
      <c r="F24" s="11">
        <v>2211.3200000000002</v>
      </c>
      <c r="G24" s="4">
        <f>SUM(F24/1000*E24)</f>
        <v>513.4242776000001</v>
      </c>
      <c r="H24" s="8"/>
      <c r="I24" s="17"/>
    </row>
    <row r="25" spans="3:10" x14ac:dyDescent="0.35">
      <c r="C25" s="9"/>
      <c r="D25" s="9"/>
      <c r="E25" s="10"/>
      <c r="F25" s="11"/>
      <c r="G25" s="4"/>
      <c r="I25" s="3"/>
    </row>
    <row r="26" spans="3:10" x14ac:dyDescent="0.35">
      <c r="C26" s="2" t="s">
        <v>12</v>
      </c>
      <c r="E26" s="7"/>
      <c r="F26">
        <f>SUM(F20:F24)</f>
        <v>13992.65</v>
      </c>
      <c r="G26" s="4">
        <f>SUM(G20:G24)</f>
        <v>3778.5287728000003</v>
      </c>
    </row>
    <row r="27" spans="3:10" x14ac:dyDescent="0.35">
      <c r="C27" s="2" t="s">
        <v>20</v>
      </c>
      <c r="G27" s="4">
        <v>2820</v>
      </c>
      <c r="H27" t="s">
        <v>13</v>
      </c>
    </row>
    <row r="29" spans="3:10" x14ac:dyDescent="0.35">
      <c r="E29" t="s">
        <v>22</v>
      </c>
      <c r="G29" s="4">
        <f>SUM(G26-G27)</f>
        <v>958.5287728000003</v>
      </c>
      <c r="H29" s="8"/>
    </row>
    <row r="33" spans="3:8" ht="15" thickBot="1" x14ac:dyDescent="0.4"/>
    <row r="34" spans="3:8" x14ac:dyDescent="0.35">
      <c r="C34" s="1" t="s">
        <v>6</v>
      </c>
      <c r="D34" t="s">
        <v>15</v>
      </c>
      <c r="E34" t="s">
        <v>7</v>
      </c>
      <c r="G34" t="s">
        <v>14</v>
      </c>
      <c r="H34" t="s">
        <v>16</v>
      </c>
    </row>
    <row r="35" spans="3:8" x14ac:dyDescent="0.35">
      <c r="C35" t="s">
        <v>18</v>
      </c>
      <c r="D35">
        <v>238</v>
      </c>
      <c r="E35">
        <v>2856</v>
      </c>
      <c r="G35">
        <v>250.06</v>
      </c>
    </row>
    <row r="36" spans="3:8" x14ac:dyDescent="0.35">
      <c r="C36" t="s">
        <v>8</v>
      </c>
      <c r="D36">
        <v>235</v>
      </c>
      <c r="E36">
        <v>2820</v>
      </c>
      <c r="G36">
        <v>232.18</v>
      </c>
    </row>
    <row r="37" spans="3:8" x14ac:dyDescent="0.35">
      <c r="C37" t="s">
        <v>9</v>
      </c>
      <c r="D37">
        <v>178</v>
      </c>
      <c r="E37">
        <v>2136</v>
      </c>
      <c r="G37">
        <v>216.1</v>
      </c>
    </row>
    <row r="38" spans="3:8" x14ac:dyDescent="0.35">
      <c r="C38" t="s">
        <v>10</v>
      </c>
      <c r="D38">
        <v>182</v>
      </c>
      <c r="E38">
        <v>2184</v>
      </c>
      <c r="G38">
        <v>267.26</v>
      </c>
    </row>
    <row r="39" spans="3:8" x14ac:dyDescent="0.35">
      <c r="C39" t="s">
        <v>11</v>
      </c>
      <c r="D39">
        <v>87</v>
      </c>
      <c r="E39">
        <v>1044</v>
      </c>
      <c r="G39">
        <v>34.4</v>
      </c>
    </row>
    <row r="41" spans="3:8" x14ac:dyDescent="0.35">
      <c r="C41" t="s">
        <v>12</v>
      </c>
      <c r="E41">
        <f>SUM(E35:E40)</f>
        <v>11040</v>
      </c>
      <c r="H41">
        <v>232.18</v>
      </c>
    </row>
  </sheetData>
  <pageMargins left="0.7" right="0.7" top="0.78740157499999996" bottom="0.78740157499999996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Schmach</dc:creator>
  <cp:lastModifiedBy>christian schmach</cp:lastModifiedBy>
  <cp:lastPrinted>2018-11-03T20:14:36Z</cp:lastPrinted>
  <dcterms:created xsi:type="dcterms:W3CDTF">2016-09-19T19:55:01Z</dcterms:created>
  <dcterms:modified xsi:type="dcterms:W3CDTF">2025-11-09T17:17:57Z</dcterms:modified>
</cp:coreProperties>
</file>